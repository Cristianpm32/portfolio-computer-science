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pradomendez/Downloads/"/>
    </mc:Choice>
  </mc:AlternateContent>
  <xr:revisionPtr revIDLastSave="0" documentId="8_{C8D1E64C-6D05-1548-84E2-C1982E2DA91B}" xr6:coauthVersionLast="47" xr6:coauthVersionMax="47" xr10:uidLastSave="{00000000-0000-0000-0000-000000000000}"/>
  <bookViews>
    <workbookView xWindow="1500" yWindow="1320" windowWidth="27640" windowHeight="16940" xr2:uid="{F7A2C8F3-167C-3844-8C12-0B7DEAB56519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D84" i="1"/>
  <c r="B35" i="1"/>
</calcChain>
</file>

<file path=xl/sharedStrings.xml><?xml version="1.0" encoding="utf-8"?>
<sst xmlns="http://schemas.openxmlformats.org/spreadsheetml/2006/main" count="80" uniqueCount="68">
  <si>
    <t>Pràctica 5</t>
  </si>
  <si>
    <t>Noms:Jan Accensi March i Cristian Prado</t>
  </si>
  <si>
    <t>Taula</t>
  </si>
  <si>
    <t xml:space="preserve">Comparadors amb OP AMPs </t>
  </si>
  <si>
    <t>A. Circuit comparador amb sortida a 2 LEDs</t>
  </si>
  <si>
    <t xml:space="preserve">Valors mesurats </t>
  </si>
  <si>
    <t>0.5 punts</t>
  </si>
  <si>
    <r>
      <rPr>
        <b/>
        <sz val="12"/>
        <rFont val="Times New Roman"/>
        <family val="1"/>
      </rPr>
      <t>R1</t>
    </r>
    <r>
      <rPr>
        <sz val="12"/>
        <rFont val="Times New Roman"/>
        <family val="1"/>
        <charset val="1"/>
      </rPr>
      <t xml:space="preserve"> </t>
    </r>
    <r>
      <rPr>
        <sz val="12"/>
        <rFont val="Calibri"/>
        <family val="2"/>
        <charset val="1"/>
      </rPr>
      <t>(k</t>
    </r>
    <r>
      <rPr>
        <sz val="12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</si>
  <si>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</rPr>
      <t>RA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</si>
  <si>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</rPr>
      <t>RB</t>
    </r>
    <r>
      <rPr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</si>
  <si>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</rPr>
      <t>RC</t>
    </r>
    <r>
      <rPr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</si>
  <si>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t>0.987</t>
  </si>
  <si>
    <t xml:space="preserve">Valors calculats </t>
  </si>
  <si>
    <t>1 punt</t>
  </si>
  <si>
    <r>
      <rPr>
        <b/>
        <sz val="12"/>
        <color rgb="FF000000"/>
        <rFont val="Times New Roman"/>
        <family val="1"/>
      </rPr>
      <t>V1</t>
    </r>
    <r>
      <rPr>
        <sz val="12"/>
        <color rgb="FF000000"/>
        <rFont val="Times New Roman"/>
        <family val="1"/>
        <charset val="1"/>
      </rPr>
      <t xml:space="preserve"> (V)</t>
    </r>
  </si>
  <si>
    <r>
      <rPr>
        <b/>
        <sz val="12"/>
        <color rgb="FF000000"/>
        <rFont val="Times New Roman"/>
        <family val="1"/>
      </rPr>
      <t>V2</t>
    </r>
    <r>
      <rPr>
        <sz val="12"/>
        <color rgb="FF000000"/>
        <rFont val="Times New Roman"/>
        <family val="1"/>
        <charset val="1"/>
      </rPr>
      <t xml:space="preserve"> (V)</t>
    </r>
  </si>
  <si>
    <t>V1 = Vcc*Rc/(Ra+Rb+Rc)</t>
  </si>
  <si>
    <t>V2 = Vcc*(Rc+Rb)/(Ra+Rb+Rc)</t>
  </si>
  <si>
    <t>Divisor de tensio</t>
  </si>
  <si>
    <r>
      <rPr>
        <sz val="12"/>
        <rFont val="Times New Roman"/>
        <family val="1"/>
        <charset val="1"/>
      </rPr>
      <t xml:space="preserve">el LED1 estarà encès... </t>
    </r>
    <r>
      <rPr>
        <i/>
        <sz val="12"/>
        <rFont val="Times New Roman"/>
        <family val="1"/>
        <charset val="1"/>
      </rPr>
      <t>(marqueu totes les opcions correctes</t>
    </r>
    <r>
      <rPr>
        <sz val="12"/>
        <rFont val="Times New Roman"/>
        <family val="1"/>
        <charset val="1"/>
      </rPr>
      <t>)</t>
    </r>
  </si>
  <si>
    <r>
      <rPr>
        <sz val="12"/>
        <color rgb="FF000000"/>
        <rFont val="Times New Roman"/>
        <family val="1"/>
        <charset val="1"/>
      </rPr>
      <t>si V1</t>
    </r>
    <r>
      <rPr>
        <b/>
        <i/>
        <sz val="12"/>
        <color rgb="FF000000"/>
        <rFont val="Times New Roman"/>
        <family val="1"/>
        <charset val="1"/>
      </rPr>
      <t xml:space="preserve"> &lt; </t>
    </r>
    <r>
      <rPr>
        <sz val="12"/>
        <color rgb="FF000000"/>
        <rFont val="Times New Roman"/>
        <family val="1"/>
        <charset val="1"/>
      </rPr>
      <t>Vi</t>
    </r>
    <r>
      <rPr>
        <b/>
        <i/>
        <sz val="12"/>
        <color rgb="FF000000"/>
        <rFont val="Times New Roman"/>
        <family val="1"/>
        <charset val="1"/>
      </rPr>
      <t xml:space="preserve"> &lt;</t>
    </r>
    <r>
      <rPr>
        <sz val="12"/>
        <color rgb="FF000000"/>
        <rFont val="Times New Roman"/>
        <family val="1"/>
        <charset val="1"/>
      </rPr>
      <t>V2</t>
    </r>
  </si>
  <si>
    <t>No s'encen cap Led</t>
  </si>
  <si>
    <r>
      <rPr>
        <sz val="12"/>
        <color rgb="FF000000"/>
        <rFont val="Times New Roman"/>
        <family val="1"/>
        <charset val="1"/>
      </rPr>
      <t>si V</t>
    </r>
    <r>
      <rPr>
        <sz val="12"/>
        <color rgb="FF000000"/>
        <rFont val="Bookman Old Style"/>
        <family val="1"/>
        <charset val="1"/>
      </rPr>
      <t>i</t>
    </r>
    <r>
      <rPr>
        <sz val="12"/>
        <color rgb="FF000000"/>
        <rFont val="Times New Roman"/>
        <family val="1"/>
        <charset val="1"/>
      </rPr>
      <t xml:space="preserve"> &gt; V1 o Vi &gt; V2</t>
    </r>
    <r>
      <rPr>
        <vertAlign val="subscript"/>
        <sz val="12"/>
        <color rgb="FF000000"/>
        <rFont val="Times New Roman"/>
        <family val="1"/>
        <charset val="1"/>
      </rPr>
      <t xml:space="preserve"> </t>
    </r>
    <r>
      <rPr>
        <b/>
        <vertAlign val="subscript"/>
        <sz val="12"/>
        <color rgb="FF000000"/>
        <rFont val="Times New Roman"/>
        <family val="1"/>
        <charset val="1"/>
      </rPr>
      <t xml:space="preserve">                 </t>
    </r>
  </si>
  <si>
    <t>Si Vi &gt; V2 s'encen el LED1, sino no s'encen cap LED</t>
  </si>
  <si>
    <t>si Vi &lt; V1 o Vi &gt; V2</t>
  </si>
  <si>
    <t>Si Vi &lt; V1 s'encen el LED 2. Si Vi &gt; V2 s'encen el LED1</t>
  </si>
  <si>
    <r>
      <rPr>
        <sz val="12"/>
        <color rgb="FF000000"/>
        <rFont val="Times New Roman"/>
        <family val="1"/>
        <charset val="1"/>
      </rPr>
      <t>si</t>
    </r>
    <r>
      <rPr>
        <b/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Times New Roman"/>
        <family val="1"/>
        <charset val="1"/>
      </rPr>
      <t>Vi &lt; V2</t>
    </r>
    <r>
      <rPr>
        <vertAlign val="subscript"/>
        <sz val="12"/>
        <color rgb="FF000000"/>
        <rFont val="Times New Roman"/>
        <family val="1"/>
        <charset val="1"/>
      </rPr>
      <t xml:space="preserve">     </t>
    </r>
    <r>
      <rPr>
        <b/>
        <vertAlign val="subscript"/>
        <sz val="12"/>
        <color rgb="FF000000"/>
        <rFont val="Times New Roman"/>
        <family val="1"/>
        <charset val="1"/>
      </rPr>
      <t xml:space="preserve">                      </t>
    </r>
  </si>
  <si>
    <t>No s'encen el Led1</t>
  </si>
  <si>
    <t>No hi ha cap resposta correcta</t>
  </si>
  <si>
    <t>Ensenyeu el funcionament del circuit al professor</t>
  </si>
  <si>
    <t>Fet</t>
  </si>
  <si>
    <t>2.5 punts</t>
  </si>
  <si>
    <r>
      <t xml:space="preserve">Mesureu per quins valors exactes de </t>
    </r>
    <r>
      <rPr>
        <i/>
        <sz val="11"/>
        <rFont val="Arial Narrow"/>
        <family val="2"/>
      </rPr>
      <t>V</t>
    </r>
    <r>
      <rPr>
        <sz val="12"/>
        <rFont val="Arial Narrow"/>
        <family val="2"/>
      </rPr>
      <t>i hi ha un canvi en l'estat del LED1 i del LED2</t>
    </r>
  </si>
  <si>
    <r>
      <rPr>
        <b/>
        <i/>
        <sz val="12"/>
        <color rgb="FF000000"/>
        <rFont val="Times New Roman"/>
        <family val="1"/>
      </rPr>
      <t>V</t>
    </r>
    <r>
      <rPr>
        <b/>
        <sz val="12"/>
        <color rgb="FF000000"/>
        <rFont val="Times New Roman"/>
        <family val="1"/>
      </rPr>
      <t>i</t>
    </r>
    <r>
      <rPr>
        <sz val="12"/>
        <color rgb="FF000000"/>
        <rFont val="Times New Roman"/>
        <family val="1"/>
        <charset val="1"/>
      </rPr>
      <t xml:space="preserve"> (V) – canvi en LED1</t>
    </r>
  </si>
  <si>
    <t>Quan s'encen LED1, Vi = V2</t>
  </si>
  <si>
    <r>
      <rPr>
        <b/>
        <i/>
        <sz val="12"/>
        <color rgb="FF000000"/>
        <rFont val="Times New Roman"/>
        <family val="1"/>
      </rPr>
      <t>V</t>
    </r>
    <r>
      <rPr>
        <b/>
        <sz val="12"/>
        <color rgb="FF000000"/>
        <rFont val="Times New Roman"/>
        <family val="1"/>
      </rPr>
      <t xml:space="preserve">i </t>
    </r>
    <r>
      <rPr>
        <sz val="12"/>
        <color rgb="FF000000"/>
        <rFont val="Times New Roman"/>
        <family val="1"/>
        <charset val="1"/>
      </rPr>
      <t>(V) – canvi en LED2</t>
    </r>
  </si>
  <si>
    <t>Quan s'apaga LED2, Vi = V1</t>
  </si>
  <si>
    <t>B. Semàfor amb 3 LEDS de sortida.</t>
  </si>
  <si>
    <r>
      <rPr>
        <b/>
        <sz val="12"/>
        <color rgb="FF000000"/>
        <rFont val="Times New Roman"/>
        <family val="1"/>
        <charset val="1"/>
      </rPr>
      <t>R2</t>
    </r>
    <r>
      <rPr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</si>
  <si>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  <charset val="1"/>
      </rPr>
      <t>R3</t>
    </r>
    <r>
      <rPr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</si>
  <si>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</rPr>
      <t>RD</t>
    </r>
    <r>
      <rPr>
        <sz val="12"/>
        <color rgb="FF000000"/>
        <rFont val="Times New Roman"/>
        <family val="1"/>
        <charset val="1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</si>
  <si>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t>Marqueu totes les opcions correctes</t>
  </si>
  <si>
    <r>
      <rPr>
        <sz val="12"/>
        <color rgb="FF000000"/>
        <rFont val="Times New Roman"/>
        <family val="1"/>
        <charset val="1"/>
      </rPr>
      <t>si V1</t>
    </r>
    <r>
      <rPr>
        <i/>
        <sz val="12"/>
        <color rgb="FF000000"/>
        <rFont val="Times New Roman"/>
        <family val="1"/>
        <charset val="1"/>
      </rPr>
      <t xml:space="preserve"> &lt; </t>
    </r>
    <r>
      <rPr>
        <sz val="12"/>
        <color rgb="FF000000"/>
        <rFont val="Times New Roman"/>
        <family val="1"/>
        <charset val="1"/>
      </rPr>
      <t>Vi</t>
    </r>
    <r>
      <rPr>
        <i/>
        <sz val="12"/>
        <color rgb="FF000000"/>
        <rFont val="Times New Roman"/>
        <family val="1"/>
        <charset val="1"/>
      </rPr>
      <t xml:space="preserve"> &lt; </t>
    </r>
    <r>
      <rPr>
        <sz val="12"/>
        <color rgb="FF000000"/>
        <rFont val="Times New Roman"/>
        <family val="1"/>
        <charset val="1"/>
      </rPr>
      <t>V2 només LED1 encés</t>
    </r>
  </si>
  <si>
    <t>S'encen el LED3 i cap altre</t>
  </si>
  <si>
    <t>si V1 &lt; Vi &lt; V2 només LED2 encés</t>
  </si>
  <si>
    <t>si V1 &lt; Vi &lt; V2 només LED3 encés</t>
  </si>
  <si>
    <t>X</t>
  </si>
  <si>
    <t>si Vi &gt; V1 o Vi &lt; V2 només LED3 encés</t>
  </si>
  <si>
    <t>Es pot encendre el LED1 o el LED3 però no ho podem saber (Per exemple si Vi es molt gran, aleshores, Vi &gt; V2 i per tant s'encendra el LED1</t>
  </si>
  <si>
    <t>Valors optimitzats</t>
  </si>
  <si>
    <r>
      <rPr>
        <b/>
        <sz val="12"/>
        <color rgb="FF000000"/>
        <rFont val="Times New Roman"/>
        <family val="1"/>
        <charset val="1"/>
      </rPr>
      <t xml:space="preserve">RA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</si>
  <si>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  <charset val="1"/>
      </rPr>
      <t xml:space="preserve">RB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</si>
  <si>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</rPr>
      <t>RC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Calibri"/>
        <family val="2"/>
        <charset val="1"/>
      </rPr>
      <t>(k</t>
    </r>
    <r>
      <rPr>
        <sz val="12"/>
        <color rgb="FF000000"/>
        <rFont val="Times New Roman"/>
        <family val="1"/>
        <charset val="1"/>
      </rPr>
      <t>Ω)</t>
    </r>
  </si>
  <si>
    <r>
      <rPr>
        <b/>
        <sz val="12"/>
        <color rgb="FF000000"/>
        <rFont val="Times New Roman"/>
        <family val="1"/>
        <charset val="1"/>
      </rPr>
      <t>V1</t>
    </r>
    <r>
      <rPr>
        <sz val="12"/>
        <color rgb="FF000000"/>
        <rFont val="Times New Roman"/>
        <family val="1"/>
        <charset val="1"/>
      </rPr>
      <t xml:space="preserve"> (V)</t>
    </r>
  </si>
  <si>
    <r>
      <rPr>
        <b/>
        <sz val="12"/>
        <color rgb="FF000000"/>
        <rFont val="Times New Roman"/>
        <family val="1"/>
        <charset val="1"/>
      </rPr>
      <t>V2</t>
    </r>
    <r>
      <rPr>
        <sz val="12"/>
        <color rgb="FF000000"/>
        <rFont val="Times New Roman"/>
        <family val="1"/>
        <charset val="1"/>
      </rPr>
      <t xml:space="preserve"> (V)</t>
    </r>
  </si>
  <si>
    <t>RB &lt; RA &lt; RC</t>
  </si>
  <si>
    <t>Valors mesurats: V1 = 3,2, V2= 3,6</t>
  </si>
  <si>
    <t>Ensenyeu el funcionament del circuit optimitzat al professor</t>
  </si>
  <si>
    <t xml:space="preserve"> LED 1</t>
  </si>
  <si>
    <t xml:space="preserve"> LED 2</t>
  </si>
  <si>
    <t xml:space="preserve"> LED 3</t>
  </si>
  <si>
    <t xml:space="preserve">Color               </t>
  </si>
  <si>
    <t>Verd</t>
  </si>
  <si>
    <t>Vermell</t>
  </si>
  <si>
    <t>Groc</t>
  </si>
  <si>
    <t>Part opcional</t>
  </si>
  <si>
    <r>
      <t xml:space="preserve">Ensenyeu al professor el funcionament del circuit amb </t>
    </r>
    <r>
      <rPr>
        <sz val="12"/>
        <rFont val="Times New Roman"/>
        <family val="1"/>
      </rPr>
      <t>V</t>
    </r>
    <r>
      <rPr>
        <sz val="12"/>
        <rFont val="Arial"/>
        <family val="2"/>
        <charset val="1"/>
      </rPr>
      <t xml:space="preserve">i </t>
    </r>
    <r>
      <rPr>
        <i/>
        <sz val="12"/>
        <rFont val="Arial"/>
        <family val="2"/>
        <charset val="1"/>
      </rPr>
      <t xml:space="preserve">com a ona triangular </t>
    </r>
  </si>
  <si>
    <t>Ensenyat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</si>
</sst>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2"/>
      <name val="Times New Roman"/>
      <family val="1"/>
      <charset val="1"/>
    </font>
    <font>
      <sz val="10"/>
      <color rgb="FFFF0000"/>
      <name val="Times New Roman"/>
      <family val="1"/>
      <charset val="1"/>
    </font>
    <font>
      <b/>
      <sz val="16"/>
      <name val="Times New Roman"/>
      <family val="1"/>
      <charset val="1"/>
    </font>
    <font>
      <sz val="16"/>
      <name val="Times New Roman"/>
      <family val="1"/>
      <charset val="1"/>
    </font>
    <font>
      <b/>
      <i/>
      <u/>
      <sz val="16"/>
      <color rgb="FF000000"/>
      <name val="Times New Roman"/>
      <family val="1"/>
      <charset val="1"/>
    </font>
    <font>
      <b/>
      <i/>
      <u/>
      <sz val="16"/>
      <name val="Times New Roman"/>
      <family val="1"/>
      <charset val="1"/>
    </font>
    <font>
      <i/>
      <u/>
      <sz val="16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rgb="FF000000"/>
      <name val="WordVisi_MSFontService"/>
    </font>
    <font>
      <b/>
      <sz val="14"/>
      <color rgb="FFFF0000"/>
      <name val="Arial"/>
      <family val="2"/>
      <charset val="1"/>
    </font>
    <font>
      <b/>
      <sz val="12"/>
      <name val="Times New Roman"/>
      <family val="1"/>
    </font>
    <font>
      <sz val="12"/>
      <name val="Calibri"/>
      <family val="2"/>
      <charset val="1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i/>
      <sz val="12"/>
      <name val="Times New Roman"/>
      <family val="1"/>
      <charset val="1"/>
    </font>
    <font>
      <b/>
      <i/>
      <sz val="12"/>
      <color rgb="FF000000"/>
      <name val="Times New Roman"/>
      <family val="1"/>
      <charset val="1"/>
    </font>
    <font>
      <sz val="12"/>
      <color rgb="FF000000"/>
      <name val="Bookman Old Style"/>
      <family val="1"/>
      <charset val="1"/>
    </font>
    <font>
      <vertAlign val="subscript"/>
      <sz val="12"/>
      <color rgb="FF000000"/>
      <name val="Times New Roman"/>
      <family val="1"/>
      <charset val="1"/>
    </font>
    <font>
      <b/>
      <vertAlign val="subscript"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name val="Arial"/>
      <family val="2"/>
      <charset val="1"/>
    </font>
    <font>
      <sz val="12"/>
      <name val="Arial Narrow"/>
      <family val="2"/>
    </font>
    <font>
      <i/>
      <sz val="11"/>
      <name val="Arial Narrow"/>
      <family val="2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  <charset val="1"/>
    </font>
    <font>
      <b/>
      <sz val="10"/>
      <name val="Arial"/>
      <family val="2"/>
    </font>
    <font>
      <b/>
      <u/>
      <sz val="12"/>
      <name val="Arial"/>
      <family val="2"/>
      <charset val="1"/>
    </font>
    <font>
      <u/>
      <sz val="10"/>
      <name val="Times New Roman"/>
      <family val="1"/>
      <charset val="1"/>
    </font>
    <font>
      <sz val="12"/>
      <name val="Arial"/>
      <family val="2"/>
      <charset val="1"/>
    </font>
    <font>
      <i/>
      <sz val="1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99FFFF"/>
        <bgColor rgb="FF99CCFF"/>
      </patternFill>
    </fill>
    <fill>
      <patternFill patternType="solid">
        <fgColor rgb="FFDEEBF7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1" fillId="3" borderId="2" xfId="0" applyFont="1" applyFill="1" applyBorder="1"/>
    <xf numFmtId="0" fontId="4" fillId="3" borderId="3" xfId="0" applyFont="1" applyFill="1" applyBorder="1"/>
    <xf numFmtId="0" fontId="2" fillId="4" borderId="3" xfId="0" applyFont="1" applyFill="1" applyBorder="1" applyAlignment="1">
      <alignment horizontal="center"/>
    </xf>
    <xf numFmtId="0" fontId="2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5" borderId="7" xfId="0" applyFont="1" applyFill="1" applyBorder="1"/>
    <xf numFmtId="0" fontId="7" fillId="5" borderId="8" xfId="0" applyFont="1" applyFill="1" applyBorder="1"/>
    <xf numFmtId="0" fontId="3" fillId="5" borderId="8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12" fillId="0" borderId="0" xfId="0" applyFont="1"/>
    <xf numFmtId="46" fontId="1" fillId="0" borderId="0" xfId="0" applyNumberFormat="1" applyFont="1"/>
    <xf numFmtId="0" fontId="13" fillId="6" borderId="0" xfId="0" applyFont="1" applyFill="1" applyAlignment="1">
      <alignment horizontal="center"/>
    </xf>
    <xf numFmtId="0" fontId="4" fillId="5" borderId="10" xfId="0" applyFont="1" applyFill="1" applyBorder="1"/>
    <xf numFmtId="0" fontId="16" fillId="5" borderId="10" xfId="0" applyFont="1" applyFill="1" applyBorder="1"/>
    <xf numFmtId="0" fontId="19" fillId="5" borderId="10" xfId="0" applyFont="1" applyFill="1" applyBorder="1"/>
    <xf numFmtId="0" fontId="20" fillId="0" borderId="10" xfId="0" applyFont="1" applyBorder="1"/>
    <xf numFmtId="0" fontId="11" fillId="0" borderId="10" xfId="0" applyFont="1" applyBorder="1"/>
    <xf numFmtId="0" fontId="20" fillId="0" borderId="0" xfId="0" applyFont="1"/>
    <xf numFmtId="0" fontId="11" fillId="0" borderId="0" xfId="0" applyFont="1" applyAlignment="1">
      <alignment horizontal="left"/>
    </xf>
    <xf numFmtId="0" fontId="21" fillId="5" borderId="10" xfId="0" applyFont="1" applyFill="1" applyBorder="1"/>
    <xf numFmtId="0" fontId="22" fillId="0" borderId="0" xfId="0" applyFont="1"/>
    <xf numFmtId="0" fontId="19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/>
    </xf>
    <xf numFmtId="0" fontId="4" fillId="0" borderId="10" xfId="0" applyFont="1" applyBorder="1"/>
    <xf numFmtId="0" fontId="1" fillId="0" borderId="0" xfId="0" applyFont="1"/>
    <xf numFmtId="0" fontId="19" fillId="5" borderId="11" xfId="0" applyFont="1" applyFill="1" applyBorder="1"/>
    <xf numFmtId="0" fontId="4" fillId="0" borderId="13" xfId="0" applyFont="1" applyBorder="1"/>
    <xf numFmtId="0" fontId="4" fillId="5" borderId="8" xfId="0" applyFont="1" applyFill="1" applyBorder="1" applyAlignment="1">
      <alignment horizontal="left"/>
    </xf>
    <xf numFmtId="0" fontId="14" fillId="0" borderId="0" xfId="0" applyFont="1"/>
    <xf numFmtId="0" fontId="29" fillId="0" borderId="0" xfId="0" applyFont="1"/>
    <xf numFmtId="0" fontId="0" fillId="7" borderId="0" xfId="0" applyFill="1"/>
    <xf numFmtId="0" fontId="30" fillId="0" borderId="0" xfId="0" applyFont="1"/>
    <xf numFmtId="0" fontId="21" fillId="5" borderId="11" xfId="0" applyFont="1" applyFill="1" applyBorder="1"/>
    <xf numFmtId="0" fontId="4" fillId="5" borderId="14" xfId="0" applyFont="1" applyFill="1" applyBorder="1" applyAlignment="1">
      <alignment horizontal="left"/>
    </xf>
    <xf numFmtId="0" fontId="0" fillId="0" borderId="10" xfId="0" applyBorder="1"/>
    <xf numFmtId="0" fontId="28" fillId="5" borderId="10" xfId="0" applyFont="1" applyFill="1" applyBorder="1"/>
    <xf numFmtId="0" fontId="11" fillId="0" borderId="10" xfId="0" applyFont="1" applyBorder="1" applyAlignment="1">
      <alignment horizontal="left"/>
    </xf>
    <xf numFmtId="0" fontId="19" fillId="5" borderId="15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/>
    </xf>
    <xf numFmtId="0" fontId="4" fillId="5" borderId="16" xfId="0" applyFont="1" applyFill="1" applyBorder="1"/>
    <xf numFmtId="0" fontId="4" fillId="5" borderId="14" xfId="0" applyFont="1" applyFill="1" applyBorder="1"/>
    <xf numFmtId="0" fontId="4" fillId="5" borderId="12" xfId="0" applyFont="1" applyFill="1" applyBorder="1"/>
    <xf numFmtId="0" fontId="1" fillId="0" borderId="10" xfId="0" applyFont="1" applyBorder="1"/>
    <xf numFmtId="0" fontId="19" fillId="5" borderId="7" xfId="0" applyFont="1" applyFill="1" applyBorder="1" applyAlignment="1">
      <alignment horizontal="left" vertical="center"/>
    </xf>
    <xf numFmtId="0" fontId="4" fillId="5" borderId="8" xfId="0" applyFont="1" applyFill="1" applyBorder="1"/>
    <xf numFmtId="0" fontId="1" fillId="0" borderId="17" xfId="0" applyFont="1" applyBorder="1"/>
    <xf numFmtId="0" fontId="19" fillId="5" borderId="18" xfId="0" applyFont="1" applyFill="1" applyBorder="1" applyAlignment="1">
      <alignment horizontal="left" vertical="center"/>
    </xf>
    <xf numFmtId="0" fontId="4" fillId="5" borderId="18" xfId="0" applyFont="1" applyFill="1" applyBorder="1"/>
    <xf numFmtId="0" fontId="4" fillId="5" borderId="19" xfId="0" applyFont="1" applyFill="1" applyBorder="1"/>
    <xf numFmtId="0" fontId="1" fillId="0" borderId="20" xfId="0" applyFont="1" applyBorder="1"/>
    <xf numFmtId="0" fontId="34" fillId="0" borderId="0" xfId="0" applyFont="1"/>
    <xf numFmtId="0" fontId="22" fillId="5" borderId="10" xfId="0" applyFont="1" applyFill="1" applyBorder="1"/>
    <xf numFmtId="0" fontId="4" fillId="0" borderId="9" xfId="0" applyFont="1" applyBorder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5</xdr:col>
          <xdr:colOff>673100</xdr:colOff>
          <xdr:row>25</xdr:row>
          <xdr:rowOff>177800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DA0E846-93A8-114E-8D73-9CE1A80CD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5</xdr:col>
          <xdr:colOff>622300</xdr:colOff>
          <xdr:row>68</xdr:row>
          <xdr:rowOff>190500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5557AF4-5716-5044-8778-429ED3AC8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058B-7331-1744-95E0-2C54D1733A1C}">
  <dimension ref="A1:L94"/>
  <sheetViews>
    <sheetView tabSelected="1" topLeftCell="A70" workbookViewId="0">
      <selection activeCell="M6" sqref="M6"/>
    </sheetView>
  </sheetViews>
  <sheetFormatPr baseColWidth="10" defaultColWidth="8.83203125" defaultRowHeight="16"/>
  <cols>
    <col min="6" max="6" width="35.1640625" customWidth="1"/>
    <col min="7" max="7" width="8.83203125" style="76"/>
  </cols>
  <sheetData>
    <row r="1" spans="1:10" ht="18">
      <c r="A1" s="1"/>
      <c r="B1" s="2" t="s">
        <v>0</v>
      </c>
      <c r="C1" s="3"/>
      <c r="D1" s="4" t="s">
        <v>1</v>
      </c>
      <c r="E1" s="5"/>
      <c r="F1" s="6"/>
      <c r="G1" s="7"/>
      <c r="H1" s="8" t="s">
        <v>2</v>
      </c>
    </row>
    <row r="2" spans="1:10" ht="19" thickBot="1">
      <c r="A2" s="9"/>
      <c r="B2" s="10"/>
      <c r="C2" s="11"/>
      <c r="D2" s="12"/>
      <c r="E2" s="13"/>
      <c r="F2" s="14"/>
      <c r="G2" s="15"/>
      <c r="H2" s="16">
        <v>3</v>
      </c>
      <c r="I2" s="17"/>
      <c r="J2" s="18"/>
    </row>
    <row r="3" spans="1:10" ht="20">
      <c r="A3" s="19" t="s">
        <v>3</v>
      </c>
      <c r="B3" s="20"/>
      <c r="C3" s="20"/>
      <c r="D3" s="20"/>
      <c r="E3" s="21"/>
      <c r="F3" s="22"/>
      <c r="G3" s="22"/>
      <c r="H3" s="23"/>
      <c r="I3" s="18"/>
    </row>
    <row r="4" spans="1:10">
      <c r="E4" s="18"/>
      <c r="F4" s="18"/>
      <c r="G4" s="24"/>
      <c r="H4" s="17"/>
      <c r="I4" s="18"/>
    </row>
    <row r="5" spans="1:10" ht="20">
      <c r="A5" s="25" t="s">
        <v>4</v>
      </c>
      <c r="B5" s="26"/>
      <c r="C5" s="27"/>
      <c r="D5" s="28"/>
      <c r="E5" s="24"/>
      <c r="F5" s="24"/>
      <c r="G5" s="24"/>
      <c r="H5" s="17"/>
      <c r="I5" s="18"/>
    </row>
    <row r="6" spans="1:10">
      <c r="A6" s="29"/>
      <c r="B6" s="29"/>
      <c r="C6" s="28"/>
      <c r="D6" s="28"/>
      <c r="E6" s="24"/>
      <c r="F6" s="24"/>
      <c r="G6" s="24"/>
      <c r="H6" s="17"/>
      <c r="I6" s="18"/>
    </row>
    <row r="7" spans="1:10">
      <c r="B7" s="29"/>
      <c r="C7" s="28"/>
      <c r="D7" s="28"/>
      <c r="E7" s="24"/>
      <c r="F7" s="24"/>
      <c r="G7" s="24"/>
      <c r="H7" s="17"/>
      <c r="I7" s="18"/>
    </row>
    <row r="8" spans="1:10">
      <c r="A8" s="29"/>
      <c r="B8" s="29"/>
      <c r="C8" s="28"/>
      <c r="D8" s="28"/>
      <c r="E8" s="24"/>
      <c r="F8" s="24"/>
      <c r="G8" s="24"/>
      <c r="H8" s="17"/>
      <c r="I8" s="18"/>
    </row>
    <row r="9" spans="1:10">
      <c r="A9" s="29"/>
      <c r="B9" s="29"/>
      <c r="C9" s="28"/>
      <c r="E9" s="24"/>
      <c r="F9" s="24"/>
      <c r="G9" s="24"/>
      <c r="H9" s="17"/>
      <c r="I9" s="18"/>
    </row>
    <row r="10" spans="1:10">
      <c r="A10" s="29"/>
      <c r="B10" s="29"/>
      <c r="C10" s="28"/>
      <c r="D10" s="28"/>
      <c r="E10" s="24"/>
      <c r="F10" s="24"/>
      <c r="G10" s="24"/>
      <c r="H10" s="17"/>
      <c r="I10" s="18"/>
    </row>
    <row r="11" spans="1:10">
      <c r="A11" s="29"/>
      <c r="B11" s="29"/>
      <c r="C11" s="28"/>
      <c r="D11" s="28"/>
      <c r="E11" s="24"/>
      <c r="F11" s="24"/>
      <c r="G11" s="24"/>
      <c r="H11" s="17"/>
      <c r="I11" s="30"/>
    </row>
    <row r="12" spans="1:10">
      <c r="A12" s="29"/>
      <c r="B12" s="29"/>
      <c r="C12" s="28"/>
      <c r="D12" s="28"/>
      <c r="E12" s="24"/>
      <c r="F12" s="24"/>
      <c r="G12" s="24"/>
      <c r="H12" s="17"/>
      <c r="I12" s="18"/>
    </row>
    <row r="13" spans="1:10">
      <c r="A13" s="29"/>
      <c r="B13" s="29"/>
      <c r="C13" s="28"/>
      <c r="D13" s="28"/>
      <c r="E13" s="24"/>
      <c r="F13" s="24"/>
      <c r="G13" s="24"/>
      <c r="H13" s="17"/>
      <c r="I13" s="18"/>
    </row>
    <row r="14" spans="1:10">
      <c r="A14" s="29"/>
      <c r="B14" s="29"/>
      <c r="C14" s="28"/>
      <c r="D14" s="28"/>
      <c r="E14" s="24"/>
      <c r="F14" s="24"/>
      <c r="G14" s="24"/>
      <c r="H14" s="17"/>
      <c r="I14" s="18"/>
    </row>
    <row r="15" spans="1:10">
      <c r="A15" s="29"/>
      <c r="B15" s="29"/>
      <c r="C15" s="28"/>
      <c r="D15" s="28"/>
      <c r="E15" s="24"/>
      <c r="F15" s="24"/>
      <c r="G15" s="24"/>
      <c r="H15" s="17"/>
      <c r="I15" s="18"/>
    </row>
    <row r="16" spans="1:10">
      <c r="A16" s="29"/>
      <c r="B16" s="29"/>
      <c r="C16" s="28"/>
      <c r="D16" s="28"/>
      <c r="E16" s="24"/>
      <c r="F16" s="24"/>
      <c r="G16" s="24"/>
      <c r="H16" s="17"/>
      <c r="I16" s="18"/>
    </row>
    <row r="17" spans="1:12">
      <c r="A17" s="29"/>
      <c r="B17" s="29"/>
      <c r="C17" s="28"/>
      <c r="D17" s="28"/>
      <c r="E17" s="24"/>
      <c r="F17" s="24"/>
      <c r="G17" s="24"/>
      <c r="H17" s="17"/>
      <c r="I17" s="18"/>
    </row>
    <row r="18" spans="1:12">
      <c r="A18" s="29"/>
      <c r="B18" s="29"/>
      <c r="C18" s="28"/>
      <c r="D18" s="28"/>
      <c r="E18" s="24"/>
      <c r="F18" s="24"/>
      <c r="G18" s="24"/>
      <c r="H18" s="17"/>
      <c r="I18" s="18"/>
    </row>
    <row r="19" spans="1:12">
      <c r="A19" s="29"/>
      <c r="B19" s="29"/>
      <c r="C19" s="28"/>
      <c r="D19" s="28"/>
      <c r="E19" s="24"/>
      <c r="F19" s="24"/>
      <c r="G19" s="24"/>
      <c r="H19" s="17"/>
      <c r="I19" s="18"/>
    </row>
    <row r="20" spans="1:12">
      <c r="A20" s="29"/>
      <c r="B20" s="29"/>
      <c r="C20" s="28"/>
      <c r="D20" s="28"/>
      <c r="E20" s="24"/>
      <c r="F20" s="24"/>
      <c r="G20" s="24"/>
      <c r="H20" s="17"/>
      <c r="I20" s="18"/>
      <c r="L20" s="31"/>
    </row>
    <row r="21" spans="1:12">
      <c r="A21" s="29"/>
      <c r="B21" s="29"/>
      <c r="C21" s="28"/>
      <c r="D21" s="28"/>
      <c r="E21" s="24"/>
      <c r="F21" s="24"/>
      <c r="G21" s="24"/>
      <c r="H21" s="17"/>
      <c r="I21" s="18"/>
      <c r="L21" s="31"/>
    </row>
    <row r="22" spans="1:12">
      <c r="A22" s="29"/>
      <c r="B22" s="29"/>
      <c r="C22" s="28"/>
      <c r="D22" s="28"/>
      <c r="E22" s="24"/>
      <c r="F22" s="24"/>
      <c r="G22" s="24"/>
      <c r="H22" s="17"/>
      <c r="I22" s="18"/>
      <c r="L22" s="31"/>
    </row>
    <row r="23" spans="1:12">
      <c r="A23" s="29"/>
      <c r="B23" s="29"/>
      <c r="C23" s="28"/>
      <c r="D23" s="28"/>
      <c r="E23" s="24"/>
      <c r="F23" s="24"/>
      <c r="G23" s="24"/>
      <c r="H23" s="17"/>
      <c r="I23" s="18"/>
      <c r="L23" s="31"/>
    </row>
    <row r="24" spans="1:12">
      <c r="A24" s="29"/>
      <c r="B24" s="29"/>
      <c r="C24" s="28"/>
      <c r="D24" s="28"/>
      <c r="E24" s="24"/>
      <c r="F24" s="24"/>
      <c r="G24" s="24"/>
      <c r="H24" s="17"/>
      <c r="I24" s="18"/>
      <c r="L24" s="31"/>
    </row>
    <row r="25" spans="1:12" ht="15" customHeight="1">
      <c r="A25" s="29"/>
      <c r="B25" s="29"/>
      <c r="C25" s="28"/>
      <c r="D25" s="28"/>
      <c r="E25" s="24"/>
      <c r="F25" s="24"/>
      <c r="G25" s="24"/>
      <c r="H25" s="17"/>
      <c r="I25" s="18"/>
      <c r="L25" s="31"/>
    </row>
    <row r="26" spans="1:12" ht="15" customHeight="1">
      <c r="A26" s="29"/>
      <c r="B26" s="29"/>
      <c r="C26" s="28"/>
      <c r="D26" s="28"/>
      <c r="E26" s="24"/>
      <c r="F26" s="24"/>
      <c r="G26" s="24"/>
      <c r="H26" s="17"/>
      <c r="I26" s="18"/>
      <c r="L26" s="31"/>
    </row>
    <row r="27" spans="1:12" ht="15" customHeight="1">
      <c r="A27" s="29"/>
      <c r="B27" s="29"/>
      <c r="C27" s="28"/>
      <c r="D27" s="28"/>
      <c r="E27" s="24"/>
      <c r="F27" s="24"/>
      <c r="G27" s="24"/>
      <c r="H27" s="17"/>
      <c r="I27" s="18"/>
    </row>
    <row r="28" spans="1:12" ht="15" customHeight="1">
      <c r="A28" s="28" t="s">
        <v>5</v>
      </c>
      <c r="B28" s="28"/>
      <c r="C28" s="28"/>
      <c r="D28" s="28"/>
      <c r="G28" s="24" t="s">
        <v>6</v>
      </c>
      <c r="H28" s="32"/>
      <c r="I28" s="18"/>
    </row>
    <row r="29" spans="1:12" ht="15" customHeight="1">
      <c r="A29" s="33" t="s">
        <v>7</v>
      </c>
      <c r="B29" s="34" t="s">
        <v>8</v>
      </c>
      <c r="C29" s="35" t="s">
        <v>9</v>
      </c>
      <c r="D29" s="35" t="s">
        <v>10</v>
      </c>
      <c r="G29"/>
    </row>
    <row r="30" spans="1:12">
      <c r="A30" s="36" t="s">
        <v>11</v>
      </c>
      <c r="B30" s="37">
        <v>8.1300000000000008</v>
      </c>
      <c r="C30" s="37">
        <v>2.66</v>
      </c>
      <c r="D30" s="37">
        <v>3.28</v>
      </c>
      <c r="G30"/>
    </row>
    <row r="31" spans="1:12">
      <c r="B31" s="37"/>
      <c r="C31" s="37"/>
      <c r="D31" s="37"/>
      <c r="G31"/>
    </row>
    <row r="32" spans="1:12">
      <c r="A32" s="29"/>
      <c r="B32" s="38"/>
      <c r="C32" s="29"/>
      <c r="D32" s="29"/>
      <c r="G32" s="39"/>
      <c r="H32" s="17"/>
      <c r="I32" s="18"/>
    </row>
    <row r="33" spans="1:10" ht="18">
      <c r="A33" s="28" t="s">
        <v>12</v>
      </c>
      <c r="B33" s="28"/>
      <c r="C33" s="28"/>
      <c r="D33" s="28"/>
      <c r="F33" s="24"/>
      <c r="G33" s="24" t="s">
        <v>13</v>
      </c>
      <c r="H33" s="32"/>
      <c r="I33" s="18"/>
    </row>
    <row r="34" spans="1:10">
      <c r="A34" s="40" t="s">
        <v>14</v>
      </c>
      <c r="B34" s="40" t="s">
        <v>15</v>
      </c>
      <c r="C34" s="38" t="s">
        <v>16</v>
      </c>
      <c r="D34" s="24"/>
      <c r="G34"/>
    </row>
    <row r="35" spans="1:10">
      <c r="A35" s="37">
        <v>1.1599999999999999</v>
      </c>
      <c r="B35" s="37">
        <f>5*(3.28+2.66)/(3.28+2.66+8.13)</f>
        <v>2.1108742004264389</v>
      </c>
      <c r="C35" t="s">
        <v>17</v>
      </c>
      <c r="D35" s="24"/>
      <c r="G35"/>
    </row>
    <row r="36" spans="1:10">
      <c r="A36" s="37"/>
      <c r="B36" s="37"/>
      <c r="D36" s="24"/>
      <c r="G36"/>
    </row>
    <row r="37" spans="1:10">
      <c r="A37" s="29"/>
      <c r="B37" s="39"/>
      <c r="C37" s="41" t="s">
        <v>18</v>
      </c>
      <c r="D37" s="41"/>
      <c r="G37" s="24"/>
    </row>
    <row r="38" spans="1:10" ht="18">
      <c r="A38" s="28" t="s">
        <v>19</v>
      </c>
      <c r="B38" s="24"/>
      <c r="C38" s="18"/>
      <c r="E38" s="28"/>
      <c r="G38" s="28" t="s">
        <v>6</v>
      </c>
      <c r="H38" s="32"/>
      <c r="J38" s="24"/>
    </row>
    <row r="39" spans="1:10">
      <c r="A39" s="42" t="s">
        <v>20</v>
      </c>
      <c r="B39" s="43"/>
      <c r="C39" s="44"/>
      <c r="D39" s="28" t="s">
        <v>21</v>
      </c>
      <c r="G39" s="45"/>
    </row>
    <row r="40" spans="1:10" ht="18">
      <c r="A40" s="42" t="s">
        <v>22</v>
      </c>
      <c r="B40" s="43"/>
      <c r="C40" s="44"/>
      <c r="D40" s="28" t="s">
        <v>23</v>
      </c>
      <c r="G40" s="45"/>
    </row>
    <row r="41" spans="1:10">
      <c r="A41" s="46" t="s">
        <v>24</v>
      </c>
      <c r="B41" s="43"/>
      <c r="C41" s="47"/>
      <c r="D41" s="28" t="s">
        <v>25</v>
      </c>
      <c r="G41" s="45"/>
    </row>
    <row r="42" spans="1:10" ht="18" customHeight="1">
      <c r="A42" s="42" t="s">
        <v>26</v>
      </c>
      <c r="B42" s="48"/>
      <c r="C42" s="44"/>
      <c r="D42" s="28" t="s">
        <v>27</v>
      </c>
      <c r="E42" s="28"/>
      <c r="G42" s="45"/>
    </row>
    <row r="43" spans="1:10">
      <c r="A43" s="49" t="s">
        <v>28</v>
      </c>
      <c r="B43" s="28"/>
      <c r="C43" s="28"/>
      <c r="D43" s="28"/>
      <c r="E43" s="28"/>
      <c r="G43" s="45"/>
    </row>
    <row r="44" spans="1:10" ht="18">
      <c r="A44" s="50" t="s">
        <v>29</v>
      </c>
      <c r="B44" s="39"/>
      <c r="C44" s="41"/>
      <c r="D44" s="41"/>
      <c r="E44" s="51" t="s">
        <v>30</v>
      </c>
      <c r="G44" s="24" t="s">
        <v>31</v>
      </c>
      <c r="H44" s="32"/>
    </row>
    <row r="45" spans="1:10">
      <c r="A45" s="29"/>
      <c r="B45" s="39"/>
      <c r="C45" s="41"/>
      <c r="D45" s="41"/>
      <c r="G45" s="24"/>
    </row>
    <row r="46" spans="1:10">
      <c r="A46" s="28"/>
      <c r="B46" s="24"/>
      <c r="D46" s="24"/>
      <c r="E46" s="28"/>
      <c r="F46" s="24"/>
      <c r="G46" s="24"/>
      <c r="H46" s="17"/>
      <c r="I46" s="18"/>
    </row>
    <row r="47" spans="1:10" ht="18">
      <c r="A47" s="52" t="s">
        <v>32</v>
      </c>
      <c r="B47" s="24"/>
      <c r="D47" s="24"/>
      <c r="E47" s="28"/>
      <c r="F47" s="24"/>
      <c r="G47" s="28" t="s">
        <v>6</v>
      </c>
      <c r="H47" s="32"/>
      <c r="I47" s="18"/>
    </row>
    <row r="48" spans="1:10">
      <c r="A48" s="53" t="s">
        <v>33</v>
      </c>
      <c r="B48" s="54"/>
      <c r="C48" s="55">
        <v>1.2</v>
      </c>
      <c r="D48" s="24" t="s">
        <v>34</v>
      </c>
      <c r="F48" s="24"/>
      <c r="G48" s="45"/>
      <c r="H48" s="17"/>
      <c r="I48" s="18"/>
    </row>
    <row r="49" spans="1:9">
      <c r="A49" s="53" t="s">
        <v>35</v>
      </c>
      <c r="B49" s="48"/>
      <c r="C49" s="55">
        <v>2.1</v>
      </c>
      <c r="D49" s="24" t="s">
        <v>36</v>
      </c>
      <c r="E49" s="28"/>
      <c r="F49" s="24"/>
      <c r="G49" s="24"/>
      <c r="H49" s="17"/>
      <c r="I49" s="18"/>
    </row>
    <row r="50" spans="1:9">
      <c r="A50" s="28"/>
      <c r="B50" s="24"/>
      <c r="D50" s="24"/>
      <c r="E50" s="28"/>
      <c r="F50" s="24"/>
      <c r="G50" s="24"/>
      <c r="H50" s="17"/>
      <c r="I50" s="18"/>
    </row>
    <row r="51" spans="1:9">
      <c r="A51" s="28"/>
      <c r="B51" s="24"/>
      <c r="D51" s="24"/>
      <c r="E51" s="28"/>
      <c r="F51" s="24"/>
      <c r="G51" s="24"/>
      <c r="H51" s="17"/>
      <c r="I51" s="18"/>
    </row>
    <row r="52" spans="1:9" ht="20">
      <c r="A52" s="26" t="s">
        <v>37</v>
      </c>
      <c r="B52" s="29"/>
      <c r="C52" s="28"/>
      <c r="D52" s="28"/>
      <c r="E52" s="24"/>
      <c r="F52" s="24"/>
      <c r="G52" s="24"/>
      <c r="H52" s="17"/>
      <c r="I52" s="18"/>
    </row>
    <row r="53" spans="1:9">
      <c r="B53" s="29"/>
      <c r="C53" s="28"/>
      <c r="D53" s="28"/>
      <c r="E53" s="24"/>
      <c r="F53" s="24"/>
      <c r="G53" s="24"/>
      <c r="H53" s="17"/>
      <c r="I53" s="18"/>
    </row>
    <row r="54" spans="1:9">
      <c r="B54" s="29"/>
      <c r="C54" s="28"/>
      <c r="D54" s="28"/>
      <c r="E54" s="24"/>
      <c r="F54" s="24"/>
      <c r="G54" s="24"/>
      <c r="H54" s="17"/>
      <c r="I54" s="18"/>
    </row>
    <row r="55" spans="1:9">
      <c r="A55" s="29"/>
      <c r="B55" s="29"/>
      <c r="C55" s="28"/>
      <c r="D55" s="28"/>
      <c r="E55" s="24"/>
      <c r="F55" s="24"/>
      <c r="G55" s="24"/>
      <c r="H55" s="17"/>
      <c r="I55" s="18"/>
    </row>
    <row r="56" spans="1:9">
      <c r="A56" s="29"/>
      <c r="B56" s="29"/>
      <c r="C56" s="28"/>
      <c r="D56" s="28"/>
      <c r="E56" s="24"/>
      <c r="F56" s="24"/>
      <c r="G56" s="24"/>
      <c r="H56" s="17"/>
      <c r="I56" s="18"/>
    </row>
    <row r="57" spans="1:9">
      <c r="A57" s="29"/>
      <c r="C57" s="28"/>
      <c r="D57" s="28"/>
      <c r="E57" s="24"/>
      <c r="F57" s="24"/>
      <c r="G57" s="24"/>
      <c r="H57" s="17"/>
      <c r="I57" s="18"/>
    </row>
    <row r="58" spans="1:9">
      <c r="A58" s="29"/>
      <c r="B58" s="29"/>
      <c r="C58" s="28"/>
      <c r="D58" s="28"/>
      <c r="E58" s="24"/>
      <c r="F58" s="24"/>
      <c r="G58" s="24"/>
      <c r="H58" s="17"/>
      <c r="I58" s="18"/>
    </row>
    <row r="59" spans="1:9">
      <c r="A59" s="29"/>
      <c r="B59" s="29"/>
      <c r="C59" s="28"/>
      <c r="D59" s="28"/>
      <c r="E59" s="24"/>
      <c r="F59" s="24"/>
      <c r="G59" s="24"/>
      <c r="H59" s="17"/>
      <c r="I59" s="18"/>
    </row>
    <row r="60" spans="1:9">
      <c r="A60" s="29"/>
      <c r="B60" s="29"/>
      <c r="C60" s="28"/>
      <c r="D60" s="28"/>
      <c r="E60" s="24"/>
      <c r="F60" s="24"/>
      <c r="G60" s="24"/>
      <c r="H60" s="17"/>
      <c r="I60" s="18"/>
    </row>
    <row r="61" spans="1:9">
      <c r="A61" s="29"/>
      <c r="B61" s="29"/>
      <c r="C61" s="28"/>
      <c r="D61" s="28"/>
      <c r="E61" s="24"/>
      <c r="F61" s="24"/>
      <c r="G61" s="24"/>
      <c r="H61" s="17"/>
      <c r="I61" s="18"/>
    </row>
    <row r="62" spans="1:9">
      <c r="A62" s="29"/>
      <c r="B62" s="29"/>
      <c r="C62" s="28"/>
      <c r="D62" s="28"/>
      <c r="E62" s="24"/>
      <c r="F62" s="24"/>
      <c r="G62" s="24"/>
      <c r="H62" s="17"/>
      <c r="I62" s="18"/>
    </row>
    <row r="63" spans="1:9">
      <c r="A63" s="29"/>
      <c r="B63" s="29"/>
      <c r="C63" s="28"/>
      <c r="D63" s="28"/>
      <c r="E63" s="24"/>
      <c r="F63" s="24"/>
      <c r="G63" s="24"/>
      <c r="H63" s="17"/>
      <c r="I63" s="18"/>
    </row>
    <row r="64" spans="1:9">
      <c r="A64" s="29"/>
      <c r="B64" s="29"/>
      <c r="C64" s="28"/>
      <c r="D64" s="28"/>
      <c r="E64" s="24"/>
      <c r="F64" s="24"/>
      <c r="G64" s="24"/>
      <c r="H64" s="17"/>
      <c r="I64" s="18"/>
    </row>
    <row r="65" spans="1:9">
      <c r="A65" s="29"/>
      <c r="B65" s="29"/>
      <c r="C65" s="28"/>
      <c r="D65" s="28"/>
      <c r="E65" s="24"/>
      <c r="F65" s="24"/>
      <c r="G65" s="24"/>
      <c r="H65" s="17"/>
      <c r="I65" s="18"/>
    </row>
    <row r="66" spans="1:9">
      <c r="A66" s="29"/>
      <c r="B66" s="29"/>
      <c r="C66" s="28"/>
      <c r="D66" s="28"/>
      <c r="E66" s="24"/>
      <c r="F66" s="24"/>
      <c r="G66" s="24"/>
      <c r="H66" s="17"/>
      <c r="I66" s="18"/>
    </row>
    <row r="67" spans="1:9">
      <c r="A67" s="29"/>
      <c r="B67" s="29"/>
      <c r="C67" s="28"/>
      <c r="D67" s="28"/>
      <c r="E67" s="24"/>
      <c r="F67" s="24"/>
      <c r="G67" s="24"/>
      <c r="H67" s="17"/>
      <c r="I67" s="18"/>
    </row>
    <row r="68" spans="1:9">
      <c r="A68" s="29"/>
      <c r="B68" s="29"/>
      <c r="C68" s="28"/>
      <c r="D68" s="28"/>
      <c r="E68" s="24"/>
      <c r="F68" s="24"/>
      <c r="G68" s="24"/>
      <c r="H68" s="17"/>
      <c r="I68" s="18"/>
    </row>
    <row r="69" spans="1:9">
      <c r="A69" s="29"/>
      <c r="B69" s="29"/>
      <c r="C69" s="28"/>
      <c r="D69" s="28"/>
      <c r="E69" s="24"/>
      <c r="F69" s="24"/>
      <c r="G69" s="24"/>
      <c r="H69" s="17"/>
      <c r="I69" s="18"/>
    </row>
    <row r="70" spans="1:9">
      <c r="A70" s="29"/>
      <c r="B70" s="29"/>
      <c r="C70" s="28"/>
      <c r="D70" s="28"/>
      <c r="E70" s="24"/>
      <c r="F70" s="24"/>
      <c r="G70" s="24"/>
      <c r="H70" s="17"/>
      <c r="I70" s="18"/>
    </row>
    <row r="71" spans="1:9" ht="18">
      <c r="A71" s="28" t="s">
        <v>5</v>
      </c>
      <c r="B71" s="28"/>
      <c r="C71" s="28"/>
      <c r="D71" s="28"/>
      <c r="G71" s="24" t="s">
        <v>6</v>
      </c>
      <c r="H71" s="32"/>
      <c r="I71" s="18"/>
    </row>
    <row r="72" spans="1:9">
      <c r="A72" s="56" t="s">
        <v>38</v>
      </c>
      <c r="B72" s="56" t="s">
        <v>39</v>
      </c>
      <c r="C72" s="56" t="s">
        <v>40</v>
      </c>
      <c r="F72" s="17"/>
      <c r="G72" s="24"/>
    </row>
    <row r="73" spans="1:9">
      <c r="A73" s="57">
        <v>0.98</v>
      </c>
      <c r="B73" s="57">
        <v>9.9000000000000005E-2</v>
      </c>
      <c r="C73" s="57">
        <v>0.97599999999999998</v>
      </c>
      <c r="F73" s="17"/>
      <c r="G73" s="24"/>
    </row>
    <row r="74" spans="1:9">
      <c r="A74" s="38"/>
      <c r="B74" s="29"/>
      <c r="C74" s="29"/>
      <c r="D74" s="17"/>
      <c r="G74"/>
      <c r="H74" s="17"/>
      <c r="I74" s="18"/>
    </row>
    <row r="75" spans="1:9">
      <c r="A75" s="28"/>
      <c r="B75" s="24"/>
      <c r="F75" s="24"/>
      <c r="G75" s="24"/>
      <c r="H75" s="17"/>
      <c r="I75" s="18"/>
    </row>
    <row r="76" spans="1:9" ht="18">
      <c r="A76" s="28" t="s">
        <v>41</v>
      </c>
      <c r="B76" s="24"/>
      <c r="C76" s="18"/>
      <c r="G76" s="24" t="s">
        <v>6</v>
      </c>
      <c r="H76" s="32"/>
    </row>
    <row r="77" spans="1:9">
      <c r="A77" s="58" t="s">
        <v>42</v>
      </c>
      <c r="B77" s="59"/>
      <c r="C77" s="60"/>
      <c r="D77" s="47"/>
      <c r="E77" t="s">
        <v>43</v>
      </c>
      <c r="G77"/>
      <c r="H77" s="17"/>
      <c r="I77" s="18"/>
    </row>
    <row r="78" spans="1:9">
      <c r="A78" s="42" t="s">
        <v>44</v>
      </c>
      <c r="B78" s="61"/>
      <c r="C78" s="62"/>
      <c r="D78" s="63"/>
      <c r="E78" t="s">
        <v>43</v>
      </c>
      <c r="G78"/>
      <c r="H78" s="17"/>
      <c r="I78" s="18"/>
    </row>
    <row r="79" spans="1:9">
      <c r="A79" s="64" t="s">
        <v>45</v>
      </c>
      <c r="B79" s="65"/>
      <c r="C79" s="62"/>
      <c r="D79" s="66" t="s">
        <v>46</v>
      </c>
      <c r="E79" t="s">
        <v>43</v>
      </c>
      <c r="G79"/>
      <c r="H79" s="17"/>
      <c r="I79" s="18"/>
    </row>
    <row r="80" spans="1:9">
      <c r="A80" s="67" t="s">
        <v>47</v>
      </c>
      <c r="B80" s="68"/>
      <c r="C80" s="69"/>
      <c r="D80" s="70"/>
      <c r="E80" t="s">
        <v>48</v>
      </c>
      <c r="G80"/>
      <c r="H80" s="17"/>
      <c r="I80" s="18"/>
    </row>
    <row r="81" spans="1:9">
      <c r="G81" s="45"/>
    </row>
    <row r="82" spans="1:9" ht="18">
      <c r="A82" s="28" t="s">
        <v>49</v>
      </c>
      <c r="B82" s="28"/>
      <c r="C82" s="28"/>
      <c r="D82" s="28"/>
      <c r="G82" s="24" t="s">
        <v>13</v>
      </c>
      <c r="H82" s="32"/>
      <c r="I82" s="18"/>
    </row>
    <row r="83" spans="1:9">
      <c r="A83" s="56" t="s">
        <v>50</v>
      </c>
      <c r="B83" s="56" t="s">
        <v>51</v>
      </c>
      <c r="C83" s="34" t="s">
        <v>52</v>
      </c>
      <c r="D83" s="56" t="s">
        <v>53</v>
      </c>
      <c r="E83" s="56" t="s">
        <v>54</v>
      </c>
      <c r="F83" s="29" t="s">
        <v>16</v>
      </c>
      <c r="G83" s="18"/>
    </row>
    <row r="84" spans="1:9">
      <c r="A84" s="57">
        <v>3.28</v>
      </c>
      <c r="B84" s="57">
        <v>0.98</v>
      </c>
      <c r="C84" s="57">
        <v>8.1300000000000008</v>
      </c>
      <c r="D84" s="57">
        <f>5*8.13/(8.13+0.98+3.28)</f>
        <v>3.2808716707021794</v>
      </c>
      <c r="E84" s="57">
        <f>5*(0.98+8.13)/(0.98+3.28+8.13)</f>
        <v>3.6763518966908801</v>
      </c>
      <c r="F84" s="71" t="s">
        <v>17</v>
      </c>
      <c r="G84" s="18"/>
    </row>
    <row r="85" spans="1:9">
      <c r="A85" s="38" t="s">
        <v>55</v>
      </c>
      <c r="B85" s="29" t="s">
        <v>56</v>
      </c>
      <c r="C85" s="29"/>
      <c r="D85" s="17"/>
      <c r="E85" s="28"/>
      <c r="G85" s="24"/>
      <c r="H85" s="17"/>
      <c r="I85" s="18"/>
    </row>
    <row r="86" spans="1:9" ht="18">
      <c r="A86" s="29" t="s">
        <v>57</v>
      </c>
      <c r="B86" s="39"/>
      <c r="C86" s="41"/>
      <c r="D86" s="41"/>
      <c r="F86" s="24"/>
      <c r="G86" s="24" t="s">
        <v>31</v>
      </c>
      <c r="H86" s="32"/>
      <c r="I86" s="18"/>
    </row>
    <row r="87" spans="1:9" ht="18">
      <c r="A87" s="29"/>
      <c r="B87" s="39"/>
      <c r="C87" s="41"/>
      <c r="D87" s="41"/>
      <c r="F87" s="24"/>
      <c r="G87" s="24"/>
      <c r="H87" s="32"/>
      <c r="I87" s="18"/>
    </row>
    <row r="88" spans="1:9">
      <c r="A88" s="29"/>
      <c r="B88" s="39"/>
      <c r="C88" s="41"/>
      <c r="D88" s="41"/>
      <c r="F88" s="24"/>
      <c r="G88" s="24"/>
      <c r="H88" s="17"/>
      <c r="I88" s="18"/>
    </row>
    <row r="89" spans="1:9" ht="18">
      <c r="A89" s="28"/>
      <c r="B89" s="72" t="s">
        <v>58</v>
      </c>
      <c r="C89" s="72" t="s">
        <v>59</v>
      </c>
      <c r="D89" s="72" t="s">
        <v>60</v>
      </c>
      <c r="G89" s="24" t="s">
        <v>6</v>
      </c>
      <c r="H89" s="32"/>
      <c r="I89" s="18"/>
    </row>
    <row r="90" spans="1:9">
      <c r="A90" s="56" t="s">
        <v>61</v>
      </c>
      <c r="B90" s="73" t="s">
        <v>62</v>
      </c>
      <c r="C90" s="73" t="s">
        <v>63</v>
      </c>
      <c r="D90" s="73" t="s">
        <v>64</v>
      </c>
      <c r="G90" s="24"/>
      <c r="H90" s="17"/>
      <c r="I90" s="18"/>
    </row>
    <row r="93" spans="1:9">
      <c r="A93" s="74" t="s">
        <v>65</v>
      </c>
      <c r="B93" s="75"/>
    </row>
    <row r="94" spans="1:9" ht="18">
      <c r="A94" s="77" t="s">
        <v>66</v>
      </c>
      <c r="F94" s="51" t="s">
        <v>67</v>
      </c>
      <c r="H94" s="32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autoPict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3</xdr:col>
                <xdr:colOff>711200</xdr:colOff>
                <xdr:row>25</xdr:row>
                <xdr:rowOff>177800</xdr:rowOff>
              </to>
            </anchor>
          </objectPr>
        </oleObject>
      </mc:Choice>
      <mc:Fallback>
        <oleObject shapeId="1025" r:id="rId3"/>
      </mc:Fallback>
    </mc:AlternateContent>
    <mc:AlternateContent xmlns:mc="http://schemas.openxmlformats.org/markup-compatibility/2006">
      <mc:Choice Requires="x14">
        <oleObject shapeId="1026" r:id="rId5">
          <objectPr defaultSize="0" autoPict="0" r:id="rId6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3</xdr:col>
                <xdr:colOff>660400</xdr:colOff>
                <xdr:row>68</xdr:row>
                <xdr:rowOff>190500</xdr:rowOff>
              </to>
            </anchor>
          </objectPr>
        </oleObject>
      </mc:Choice>
      <mc:Fallback>
        <oleObject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PRADO MENDEZ</dc:creator>
  <cp:lastModifiedBy>CRISTIAN PRADO MENDEZ</cp:lastModifiedBy>
  <dcterms:created xsi:type="dcterms:W3CDTF">2023-12-20T12:52:37Z</dcterms:created>
  <dcterms:modified xsi:type="dcterms:W3CDTF">2023-12-20T12:53:07Z</dcterms:modified>
</cp:coreProperties>
</file>